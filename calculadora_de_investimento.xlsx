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EA2270E-ADE1-48ED-81AF-FC35C11729BE}" xr6:coauthVersionLast="47" xr6:coauthVersionMax="47" xr10:uidLastSave="{00000000-0000-0000-0000-000000000000}"/>
  <bookViews>
    <workbookView xWindow="-120" yWindow="-120" windowWidth="29040" windowHeight="15720" tabRatio="0" xr2:uid="{606A73EC-DB4B-4F43-BFEB-8356E812D49F}"/>
  </bookViews>
  <sheets>
    <sheet name="Calculadora" sheetId="1" r:id="rId1"/>
    <sheet name="Apoio" sheetId="3" r:id="rId2"/>
  </sheets>
  <definedNames>
    <definedName name="Aporte">Calculadora!$D$22</definedName>
    <definedName name="Patrimonio">Calculadora!$D$25</definedName>
    <definedName name="QtdAnos">Calculadora!$D$23</definedName>
    <definedName name="RendCart">Calculadora!$D$16</definedName>
    <definedName name="Salario">Calculadora!$D$15</definedName>
    <definedName name="SugInv10">Calculadora!$D$19</definedName>
    <definedName name="SugInv20">Calculadora!$D$18</definedName>
    <definedName name="SugInv30">Calculadora!$D$17</definedName>
    <definedName name="TaxaMensal">Calculadora!$D$24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9" i="1" l="1"/>
  <c r="C30" i="1"/>
  <c r="D30" i="1" s="1"/>
  <c r="C31" i="1"/>
  <c r="D31" i="1" s="1"/>
  <c r="C32" i="1"/>
  <c r="D32" i="1" s="1"/>
  <c r="C33" i="1"/>
  <c r="C29" i="1"/>
  <c r="D25" i="1"/>
  <c r="D26" i="1" s="1"/>
  <c r="C39" i="1"/>
  <c r="C40" i="1"/>
  <c r="C41" i="1"/>
  <c r="C42" i="1"/>
  <c r="C43" i="1"/>
  <c r="C38" i="1"/>
  <c r="B9" i="3"/>
  <c r="B10" i="3"/>
  <c r="B11" i="3"/>
  <c r="B12" i="3"/>
  <c r="B13" i="3"/>
  <c r="B14" i="3"/>
  <c r="B15" i="3"/>
  <c r="B16" i="3"/>
  <c r="B17" i="3"/>
  <c r="B18" i="3"/>
  <c r="B19" i="3"/>
  <c r="B20" i="3"/>
  <c r="B8" i="3"/>
  <c r="B3" i="3"/>
  <c r="B4" i="3"/>
  <c r="B5" i="3"/>
  <c r="B6" i="3"/>
  <c r="B7" i="3"/>
  <c r="C36" i="1"/>
  <c r="D33" i="1"/>
  <c r="D17" i="1"/>
  <c r="D19" i="1"/>
  <c r="D18" i="1"/>
  <c r="D38" i="1" l="1"/>
  <c r="D43" i="1"/>
  <c r="D39" i="1"/>
  <c r="D40" i="1"/>
  <c r="D41" i="1"/>
  <c r="D42" i="1"/>
  <c r="D44" i="1" l="1"/>
</calcChain>
</file>

<file path=xl/sharedStrings.xml><?xml version="1.0" encoding="utf-8"?>
<sst xmlns="http://schemas.openxmlformats.org/spreadsheetml/2006/main" count="73" uniqueCount="37">
  <si>
    <t>Investimento Mensal</t>
  </si>
  <si>
    <t>Dividendos</t>
  </si>
  <si>
    <t>Cenários</t>
  </si>
  <si>
    <t>Configurações</t>
  </si>
  <si>
    <t>Salario</t>
  </si>
  <si>
    <t>Rendimento da Carteira</t>
  </si>
  <si>
    <t>Sugestão de investimento 30%</t>
  </si>
  <si>
    <t>Sugestão de investimento 20%</t>
  </si>
  <si>
    <t>Sugestão de investimento 10%</t>
  </si>
  <si>
    <t>Perfil</t>
  </si>
  <si>
    <t>Agressivo</t>
  </si>
  <si>
    <t>Moderado</t>
  </si>
  <si>
    <t>Conservador</t>
  </si>
  <si>
    <t>Valor a ser investido por mês</t>
  </si>
  <si>
    <t>Percentual sugerido</t>
  </si>
  <si>
    <t>Valores</t>
  </si>
  <si>
    <t>Tipo de FII</t>
  </si>
  <si>
    <t>Papel</t>
  </si>
  <si>
    <t>Tijolo</t>
  </si>
  <si>
    <t>Híbrido</t>
  </si>
  <si>
    <t>FOFs</t>
  </si>
  <si>
    <t>Desenvolvimento</t>
  </si>
  <si>
    <t>Hotelarias</t>
  </si>
  <si>
    <t>%</t>
  </si>
  <si>
    <t>Chave</t>
  </si>
  <si>
    <t>Quanto vou investir por mês</t>
  </si>
  <si>
    <t>Quantos anos vou investir</t>
  </si>
  <si>
    <t>Taxa de rendimento mensal</t>
  </si>
  <si>
    <t>Patrimônio acumulado</t>
  </si>
  <si>
    <t>Dividendos mensais</t>
  </si>
  <si>
    <t>Patrimônio</t>
  </si>
  <si>
    <t>Investimento em 2 anos</t>
  </si>
  <si>
    <t>Investimento em 5 anos</t>
  </si>
  <si>
    <t>Investimento em 10 anos</t>
  </si>
  <si>
    <t>Investimento em 20 anos</t>
  </si>
  <si>
    <t>Investimento em 30 anos</t>
  </si>
  <si>
    <t>Cenarios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</si>
</sst>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medium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/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1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0" fillId="0" borderId="3" xfId="0" applyBorder="1"/>
    <xf numFmtId="0" fontId="0" fillId="0" borderId="5" xfId="0" applyBorder="1"/>
    <xf numFmtId="0" fontId="0" fillId="2" borderId="10" xfId="0" applyFill="1" applyBorder="1"/>
    <xf numFmtId="0" fontId="2" fillId="2" borderId="8" xfId="0" applyFont="1" applyFill="1" applyBorder="1"/>
    <xf numFmtId="8" fontId="0" fillId="2" borderId="11" xfId="0" applyNumberFormat="1" applyFill="1" applyBorder="1"/>
    <xf numFmtId="8" fontId="0" fillId="2" borderId="13" xfId="0" applyNumberFormat="1" applyFill="1" applyBorder="1"/>
    <xf numFmtId="9" fontId="0" fillId="0" borderId="4" xfId="0" applyNumberFormat="1" applyBorder="1"/>
    <xf numFmtId="8" fontId="0" fillId="2" borderId="25" xfId="0" applyNumberFormat="1" applyFill="1" applyBorder="1"/>
    <xf numFmtId="8" fontId="0" fillId="2" borderId="26" xfId="0" applyNumberFormat="1" applyFill="1" applyBorder="1" applyAlignment="1">
      <alignment horizontal="center"/>
    </xf>
    <xf numFmtId="8" fontId="0" fillId="2" borderId="15" xfId="0" applyNumberFormat="1" applyFill="1" applyBorder="1" applyAlignment="1">
      <alignment horizontal="center"/>
    </xf>
    <xf numFmtId="8" fontId="0" fillId="2" borderId="24" xfId="1" applyNumberFormat="1" applyFont="1" applyFill="1" applyBorder="1" applyAlignment="1">
      <alignment horizontal="center"/>
    </xf>
    <xf numFmtId="8" fontId="0" fillId="2" borderId="19" xfId="1" applyNumberFormat="1" applyFont="1" applyFill="1" applyBorder="1" applyAlignment="1">
      <alignment horizontal="center"/>
    </xf>
    <xf numFmtId="8" fontId="0" fillId="2" borderId="20" xfId="1" applyNumberFormat="1" applyFont="1" applyFill="1" applyBorder="1" applyAlignment="1">
      <alignment horizontal="center"/>
    </xf>
    <xf numFmtId="164" fontId="0" fillId="2" borderId="26" xfId="0" applyNumberFormat="1" applyFill="1" applyBorder="1" applyAlignment="1">
      <alignment horizontal="center"/>
    </xf>
    <xf numFmtId="164" fontId="0" fillId="2" borderId="15" xfId="0" applyNumberFormat="1" applyFill="1" applyBorder="1" applyAlignment="1">
      <alignment horizontal="center"/>
    </xf>
    <xf numFmtId="0" fontId="3" fillId="3" borderId="28" xfId="0" applyFont="1" applyFill="1" applyBorder="1"/>
    <xf numFmtId="0" fontId="3" fillId="3" borderId="30" xfId="0" applyFont="1" applyFill="1" applyBorder="1" applyAlignment="1">
      <alignment horizontal="center"/>
    </xf>
    <xf numFmtId="0" fontId="4" fillId="2" borderId="23" xfId="0" applyFont="1" applyFill="1" applyBorder="1"/>
    <xf numFmtId="0" fontId="4" fillId="2" borderId="10" xfId="0" applyFont="1" applyFill="1" applyBorder="1"/>
    <xf numFmtId="0" fontId="4" fillId="2" borderId="12" xfId="0" applyFont="1" applyFill="1" applyBorder="1"/>
    <xf numFmtId="0" fontId="5" fillId="5" borderId="1" xfId="0" applyFont="1" applyFill="1" applyBorder="1"/>
    <xf numFmtId="0" fontId="7" fillId="0" borderId="0" xfId="0" applyFont="1"/>
    <xf numFmtId="0" fontId="0" fillId="0" borderId="1" xfId="0" applyBorder="1"/>
    <xf numFmtId="0" fontId="0" fillId="0" borderId="1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9" xfId="0" applyBorder="1" applyAlignment="1">
      <alignment horizontal="center"/>
    </xf>
    <xf numFmtId="9" fontId="0" fillId="0" borderId="2" xfId="0" applyNumberFormat="1" applyBorder="1"/>
    <xf numFmtId="9" fontId="0" fillId="0" borderId="6" xfId="0" applyNumberFormat="1" applyBorder="1"/>
    <xf numFmtId="9" fontId="0" fillId="0" borderId="2" xfId="2" applyFont="1" applyBorder="1" applyAlignment="1">
      <alignment horizontal="right"/>
    </xf>
    <xf numFmtId="9" fontId="0" fillId="0" borderId="4" xfId="2" applyFont="1" applyBorder="1" applyAlignment="1">
      <alignment horizontal="right"/>
    </xf>
    <xf numFmtId="9" fontId="0" fillId="0" borderId="6" xfId="2" applyFont="1" applyBorder="1" applyAlignment="1">
      <alignment horizontal="right"/>
    </xf>
    <xf numFmtId="0" fontId="0" fillId="0" borderId="2" xfId="0" applyBorder="1" applyAlignment="1">
      <alignment horizontal="right"/>
    </xf>
    <xf numFmtId="0" fontId="7" fillId="2" borderId="5" xfId="0" applyFont="1" applyFill="1" applyBorder="1"/>
    <xf numFmtId="0" fontId="7" fillId="2" borderId="29" xfId="0" applyFont="1" applyFill="1" applyBorder="1"/>
    <xf numFmtId="164" fontId="0" fillId="2" borderId="6" xfId="0" applyNumberFormat="1" applyFill="1" applyBorder="1"/>
    <xf numFmtId="0" fontId="2" fillId="2" borderId="42" xfId="0" applyFont="1" applyFill="1" applyBorder="1" applyAlignment="1">
      <alignment horizontal="center"/>
    </xf>
    <xf numFmtId="9" fontId="0" fillId="2" borderId="19" xfId="0" applyNumberForma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164" fontId="0" fillId="2" borderId="11" xfId="0" applyNumberFormat="1" applyFill="1" applyBorder="1"/>
    <xf numFmtId="0" fontId="4" fillId="2" borderId="21" xfId="0" applyFont="1" applyFill="1" applyBorder="1"/>
    <xf numFmtId="0" fontId="0" fillId="2" borderId="43" xfId="0" applyFill="1" applyBorder="1"/>
    <xf numFmtId="9" fontId="0" fillId="2" borderId="44" xfId="0" applyNumberFormat="1" applyFill="1" applyBorder="1" applyAlignment="1">
      <alignment horizontal="center"/>
    </xf>
    <xf numFmtId="164" fontId="0" fillId="2" borderId="45" xfId="0" applyNumberFormat="1" applyFill="1" applyBorder="1"/>
    <xf numFmtId="0" fontId="3" fillId="3" borderId="27" xfId="0" applyFont="1" applyFill="1" applyBorder="1" applyAlignment="1">
      <alignment horizontal="right"/>
    </xf>
    <xf numFmtId="0" fontId="0" fillId="0" borderId="46" xfId="0" applyBorder="1"/>
    <xf numFmtId="0" fontId="0" fillId="0" borderId="7" xfId="0" applyBorder="1"/>
    <xf numFmtId="0" fontId="0" fillId="0" borderId="40" xfId="0" applyBorder="1"/>
    <xf numFmtId="164" fontId="0" fillId="0" borderId="14" xfId="1" applyNumberFormat="1" applyFont="1" applyBorder="1" applyAlignment="1" applyProtection="1">
      <alignment horizontal="center"/>
      <protection locked="0"/>
    </xf>
    <xf numFmtId="10" fontId="0" fillId="0" borderId="26" xfId="0" applyNumberFormat="1" applyBorder="1" applyAlignment="1" applyProtection="1">
      <alignment horizontal="center"/>
      <protection locked="0"/>
    </xf>
    <xf numFmtId="1" fontId="0" fillId="0" borderId="26" xfId="0" applyNumberFormat="1" applyBorder="1" applyAlignment="1" applyProtection="1">
      <alignment horizontal="center"/>
      <protection locked="0"/>
    </xf>
    <xf numFmtId="0" fontId="3" fillId="4" borderId="1" xfId="0" applyFont="1" applyFill="1" applyBorder="1" applyAlignment="1">
      <alignment horizontal="center"/>
    </xf>
    <xf numFmtId="0" fontId="3" fillId="4" borderId="18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4" fillId="2" borderId="38" xfId="0" applyFont="1" applyFill="1" applyBorder="1" applyAlignment="1">
      <alignment horizontal="left"/>
    </xf>
    <xf numFmtId="0" fontId="4" fillId="2" borderId="39" xfId="0" applyFont="1" applyFill="1" applyBorder="1" applyAlignment="1">
      <alignment horizontal="left"/>
    </xf>
    <xf numFmtId="0" fontId="6" fillId="5" borderId="18" xfId="0" applyFont="1" applyFill="1" applyBorder="1" applyAlignment="1" applyProtection="1">
      <alignment horizontal="center"/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164" fontId="0" fillId="2" borderId="22" xfId="0" applyNumberFormat="1" applyFill="1" applyBorder="1" applyAlignment="1">
      <alignment horizontal="center"/>
    </xf>
    <xf numFmtId="164" fontId="0" fillId="2" borderId="41" xfId="0" applyNumberFormat="1" applyFill="1" applyBorder="1" applyAlignment="1">
      <alignment horizontal="center"/>
    </xf>
    <xf numFmtId="0" fontId="4" fillId="2" borderId="32" xfId="0" applyFont="1" applyFill="1" applyBorder="1" applyAlignment="1">
      <alignment horizontal="left"/>
    </xf>
    <xf numFmtId="0" fontId="4" fillId="2" borderId="33" xfId="0" applyFont="1" applyFill="1" applyBorder="1" applyAlignment="1">
      <alignment horizontal="left"/>
    </xf>
    <xf numFmtId="0" fontId="4" fillId="2" borderId="34" xfId="0" applyFont="1" applyFill="1" applyBorder="1" applyAlignment="1">
      <alignment horizontal="left"/>
    </xf>
    <xf numFmtId="0" fontId="4" fillId="2" borderId="35" xfId="0" applyFont="1" applyFill="1" applyBorder="1" applyAlignment="1">
      <alignment horizontal="left"/>
    </xf>
    <xf numFmtId="0" fontId="4" fillId="2" borderId="36" xfId="0" applyFont="1" applyFill="1" applyBorder="1" applyAlignment="1">
      <alignment horizontal="left"/>
    </xf>
    <xf numFmtId="0" fontId="4" fillId="2" borderId="37" xfId="0" applyFont="1" applyFill="1" applyBorder="1" applyAlignment="1">
      <alignment horizontal="left"/>
    </xf>
    <xf numFmtId="0" fontId="3" fillId="3" borderId="16" xfId="0" applyFont="1" applyFill="1" applyBorder="1" applyAlignment="1">
      <alignment horizontal="center"/>
    </xf>
    <xf numFmtId="0" fontId="3" fillId="3" borderId="31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Calculadora!$C$37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AE-4154-9720-B41765F3056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AE-4154-9720-B41765F3056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2AE-4154-9720-B41765F3056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2AE-4154-9720-B41765F3056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2AE-4154-9720-B41765F3056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2AE-4154-9720-B41765F3056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Calculadora!$B$38:$B$43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Calculadora!$C$38:$C$43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6B-444E-8AA1-CBD1F355B572}"/>
            </c:ext>
          </c:extLst>
        </c:ser>
        <c:ser>
          <c:idx val="1"/>
          <c:order val="1"/>
          <c:tx>
            <c:strRef>
              <c:f>Calculadora!$D$37</c:f>
              <c:strCache>
                <c:ptCount val="1"/>
                <c:pt idx="0">
                  <c:v>Valores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2AE-4154-9720-B41765F3056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2AE-4154-9720-B41765F3056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2AE-4154-9720-B41765F3056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2AE-4154-9720-B41765F3056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2AE-4154-9720-B41765F3056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E2AE-4154-9720-B41765F3056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Calculadora!$B$38:$B$43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Calculadora!$D$38:$D$43</c:f>
              <c:numCache>
                <c:formatCode>"R$"\ #,##0.00</c:formatCode>
                <c:ptCount val="6"/>
                <c:pt idx="0">
                  <c:v>4320</c:v>
                </c:pt>
                <c:pt idx="1">
                  <c:v>4725</c:v>
                </c:pt>
                <c:pt idx="2">
                  <c:v>1080</c:v>
                </c:pt>
                <c:pt idx="3">
                  <c:v>675</c:v>
                </c:pt>
                <c:pt idx="4">
                  <c:v>1350</c:v>
                </c:pt>
                <c:pt idx="5">
                  <c:v>1350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6B-444E-8AA1-CBD1F355B57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19050</xdr:rowOff>
    </xdr:from>
    <xdr:to>
      <xdr:col>4</xdr:col>
      <xdr:colOff>0</xdr:colOff>
      <xdr:row>12</xdr:row>
      <xdr:rowOff>9525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A3EEEF2-5A21-5B60-5725-45D69BB03E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11" t="11254" r="15120" b="8681"/>
        <a:stretch>
          <a:fillRect/>
        </a:stretch>
      </xdr:blipFill>
      <xdr:spPr bwMode="auto">
        <a:xfrm>
          <a:off x="609600" y="209550"/>
          <a:ext cx="5953125" cy="2085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609599</xdr:colOff>
      <xdr:row>44</xdr:row>
      <xdr:rowOff>166687</xdr:rowOff>
    </xdr:from>
    <xdr:to>
      <xdr:col>3</xdr:col>
      <xdr:colOff>1419224</xdr:colOff>
      <xdr:row>63</xdr:row>
      <xdr:rowOff>66675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716734E-24C7-3D1E-3E4B-9F808EF759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A0501-B89F-497D-B4C8-755641E03BB8}">
  <dimension ref="A1:L66"/>
  <sheetViews>
    <sheetView showGridLines="0" showRowColHeaders="0" tabSelected="1" workbookViewId="0">
      <selection activeCell="D23" sqref="D23"/>
    </sheetView>
  </sheetViews>
  <sheetFormatPr defaultColWidth="0" defaultRowHeight="15" zeroHeight="1" x14ac:dyDescent="0.25"/>
  <cols>
    <col min="1" max="1" width="9.140625" customWidth="1"/>
    <col min="2" max="2" width="35.28515625" bestFit="1" customWidth="1"/>
    <col min="3" max="3" width="32.42578125" customWidth="1"/>
    <col min="4" max="4" width="21.42578125" customWidth="1"/>
    <col min="5" max="5" width="13.140625" customWidth="1"/>
    <col min="6" max="6" width="9.7109375" hidden="1" customWidth="1"/>
    <col min="7" max="11" width="9.140625" hidden="1" customWidth="1"/>
    <col min="12" max="12" width="9" hidden="1" customWidth="1"/>
    <col min="13" max="16384" width="9.140625" hidden="1"/>
  </cols>
  <sheetData>
    <row r="1" spans="2:4" x14ac:dyDescent="0.25"/>
    <row r="2" spans="2:4" x14ac:dyDescent="0.25"/>
    <row r="3" spans="2:4" x14ac:dyDescent="0.25"/>
    <row r="4" spans="2:4" x14ac:dyDescent="0.25"/>
    <row r="5" spans="2:4" x14ac:dyDescent="0.25"/>
    <row r="6" spans="2:4" x14ac:dyDescent="0.25"/>
    <row r="7" spans="2:4" x14ac:dyDescent="0.25"/>
    <row r="8" spans="2:4" x14ac:dyDescent="0.25"/>
    <row r="9" spans="2:4" x14ac:dyDescent="0.25"/>
    <row r="10" spans="2:4" x14ac:dyDescent="0.25"/>
    <row r="11" spans="2:4" x14ac:dyDescent="0.25"/>
    <row r="12" spans="2:4" x14ac:dyDescent="0.25"/>
    <row r="13" spans="2:4" ht="15.75" thickBot="1" x14ac:dyDescent="0.3"/>
    <row r="14" spans="2:4" ht="26.25" x14ac:dyDescent="0.4">
      <c r="B14" s="51" t="s">
        <v>3</v>
      </c>
      <c r="C14" s="52"/>
      <c r="D14" s="53"/>
    </row>
    <row r="15" spans="2:4" ht="15.75" x14ac:dyDescent="0.25">
      <c r="B15" s="54" t="s">
        <v>4</v>
      </c>
      <c r="C15" s="55"/>
      <c r="D15" s="48">
        <v>45000</v>
      </c>
    </row>
    <row r="16" spans="2:4" ht="15.75" x14ac:dyDescent="0.25">
      <c r="B16" s="62" t="s">
        <v>5</v>
      </c>
      <c r="C16" s="63"/>
      <c r="D16" s="49">
        <v>8.0000000000000002E-3</v>
      </c>
    </row>
    <row r="17" spans="2:4" ht="15.75" x14ac:dyDescent="0.25">
      <c r="B17" s="62" t="s">
        <v>6</v>
      </c>
      <c r="C17" s="63"/>
      <c r="D17" s="14">
        <f>$D$15*30%</f>
        <v>13500</v>
      </c>
    </row>
    <row r="18" spans="2:4" ht="15.75" x14ac:dyDescent="0.25">
      <c r="B18" s="62" t="s">
        <v>7</v>
      </c>
      <c r="C18" s="63"/>
      <c r="D18" s="14">
        <f>$D$15*20%</f>
        <v>9000</v>
      </c>
    </row>
    <row r="19" spans="2:4" ht="16.5" thickBot="1" x14ac:dyDescent="0.3">
      <c r="B19" s="64" t="s">
        <v>8</v>
      </c>
      <c r="C19" s="65"/>
      <c r="D19" s="15">
        <f>$D$15*10%</f>
        <v>4500</v>
      </c>
    </row>
    <row r="20" spans="2:4" ht="15.75" thickBot="1" x14ac:dyDescent="0.3"/>
    <row r="21" spans="2:4" ht="26.25" x14ac:dyDescent="0.4">
      <c r="B21" s="66" t="s">
        <v>0</v>
      </c>
      <c r="C21" s="67"/>
      <c r="D21" s="68"/>
    </row>
    <row r="22" spans="2:4" ht="15.75" x14ac:dyDescent="0.25">
      <c r="B22" s="60" t="s">
        <v>25</v>
      </c>
      <c r="C22" s="61"/>
      <c r="D22" s="48">
        <v>13500</v>
      </c>
    </row>
    <row r="23" spans="2:4" ht="15.75" x14ac:dyDescent="0.25">
      <c r="B23" s="62" t="s">
        <v>26</v>
      </c>
      <c r="C23" s="63"/>
      <c r="D23" s="50">
        <v>2</v>
      </c>
    </row>
    <row r="24" spans="2:4" ht="15.75" x14ac:dyDescent="0.25">
      <c r="B24" s="62" t="s">
        <v>27</v>
      </c>
      <c r="C24" s="63"/>
      <c r="D24" s="49">
        <v>1.0800000000000001E-2</v>
      </c>
    </row>
    <row r="25" spans="2:4" ht="15" customHeight="1" x14ac:dyDescent="0.25">
      <c r="B25" s="62" t="s">
        <v>28</v>
      </c>
      <c r="C25" s="63"/>
      <c r="D25" s="9">
        <f>FV(TaxaMensal,QtdAnos*12,Aporte*-1)</f>
        <v>367616.65941785148</v>
      </c>
    </row>
    <row r="26" spans="2:4" ht="16.5" thickBot="1" x14ac:dyDescent="0.3">
      <c r="B26" s="64" t="s">
        <v>29</v>
      </c>
      <c r="C26" s="65"/>
      <c r="D26" s="10">
        <f>Patrimonio*RendCart</f>
        <v>2940.9332753428121</v>
      </c>
    </row>
    <row r="27" spans="2:4" ht="15.75" thickBot="1" x14ac:dyDescent="0.3"/>
    <row r="28" spans="2:4" ht="27" customHeight="1" thickBot="1" x14ac:dyDescent="0.45">
      <c r="B28" s="16" t="s">
        <v>2</v>
      </c>
      <c r="C28" s="17" t="s">
        <v>30</v>
      </c>
      <c r="D28" s="44" t="s">
        <v>1</v>
      </c>
    </row>
    <row r="29" spans="2:4" ht="15" customHeight="1" x14ac:dyDescent="0.25">
      <c r="B29" s="18" t="s">
        <v>31</v>
      </c>
      <c r="C29" s="11">
        <f>FV($D$24,Apoio!G3*12,$D$22*-1)</f>
        <v>367616.65941785148</v>
      </c>
      <c r="D29" s="8">
        <f>C29*RendCart</f>
        <v>2940.9332753428121</v>
      </c>
    </row>
    <row r="30" spans="2:4" ht="15" customHeight="1" x14ac:dyDescent="0.25">
      <c r="B30" s="19" t="s">
        <v>32</v>
      </c>
      <c r="C30" s="12">
        <f>FV($D$24,Apoio!G4*12,$D$22*-1)</f>
        <v>1131354.2613499889</v>
      </c>
      <c r="D30" s="5">
        <f>C30*RendCart</f>
        <v>9050.8340907999118</v>
      </c>
    </row>
    <row r="31" spans="2:4" ht="15" customHeight="1" x14ac:dyDescent="0.25">
      <c r="B31" s="19" t="s">
        <v>33</v>
      </c>
      <c r="C31" s="12">
        <f>FV($D$24,Apoio!G5*12,$D$22*-1)</f>
        <v>3286678.4944398012</v>
      </c>
      <c r="D31" s="5">
        <f>C31*RendCart</f>
        <v>26293.427955518411</v>
      </c>
    </row>
    <row r="32" spans="2:4" ht="15" customHeight="1" x14ac:dyDescent="0.25">
      <c r="B32" s="19" t="s">
        <v>34</v>
      </c>
      <c r="C32" s="12">
        <f>FV($D$24,Apoio!G6*12,$D$22*-1)</f>
        <v>15215161.409530064</v>
      </c>
      <c r="D32" s="5">
        <f>C32*RendCart</f>
        <v>121721.29127624052</v>
      </c>
    </row>
    <row r="33" spans="2:5" ht="15.75" customHeight="1" thickBot="1" x14ac:dyDescent="0.3">
      <c r="B33" s="20" t="s">
        <v>35</v>
      </c>
      <c r="C33" s="13">
        <f>FV($D$24,Apoio!G7*12,$D$22*-1)</f>
        <v>58507714.939276144</v>
      </c>
      <c r="D33" s="6">
        <f>C33*RendCart</f>
        <v>468061.71951420914</v>
      </c>
    </row>
    <row r="34" spans="2:5" ht="15.75" thickBot="1" x14ac:dyDescent="0.3"/>
    <row r="35" spans="2:5" ht="27" thickBot="1" x14ac:dyDescent="0.45">
      <c r="B35" s="21" t="s">
        <v>9</v>
      </c>
      <c r="C35" s="56" t="s">
        <v>11</v>
      </c>
      <c r="D35" s="57"/>
    </row>
    <row r="36" spans="2:5" ht="15.75" x14ac:dyDescent="0.25">
      <c r="B36" s="40" t="s">
        <v>13</v>
      </c>
      <c r="C36" s="58">
        <f>Aporte</f>
        <v>13500</v>
      </c>
      <c r="D36" s="59"/>
    </row>
    <row r="37" spans="2:5" x14ac:dyDescent="0.25">
      <c r="B37" s="4" t="s">
        <v>16</v>
      </c>
      <c r="C37" s="36" t="s">
        <v>14</v>
      </c>
      <c r="D37" s="38" t="s">
        <v>15</v>
      </c>
    </row>
    <row r="38" spans="2:5" x14ac:dyDescent="0.25">
      <c r="B38" s="3" t="s">
        <v>17</v>
      </c>
      <c r="C38" s="37">
        <f>VLOOKUP($C$35&amp;"-"&amp;B38,Apoio!B2:E20,4,FALSE)</f>
        <v>0.32</v>
      </c>
      <c r="D38" s="39">
        <f t="shared" ref="D38:D43" si="0">C38*$C$36</f>
        <v>4320</v>
      </c>
    </row>
    <row r="39" spans="2:5" x14ac:dyDescent="0.25">
      <c r="B39" s="3" t="s">
        <v>18</v>
      </c>
      <c r="C39" s="37">
        <f>VLOOKUP($C$35&amp;"-"&amp;B39,Apoio!B3:E21,4,FALSE)</f>
        <v>0.35</v>
      </c>
      <c r="D39" s="39">
        <f t="shared" si="0"/>
        <v>4725</v>
      </c>
    </row>
    <row r="40" spans="2:5" x14ac:dyDescent="0.25">
      <c r="B40" s="3" t="s">
        <v>19</v>
      </c>
      <c r="C40" s="37">
        <f>VLOOKUP($C$35&amp;"-"&amp;B40,Apoio!B4:E22,4,FALSE)</f>
        <v>0.08</v>
      </c>
      <c r="D40" s="39">
        <f t="shared" si="0"/>
        <v>1080</v>
      </c>
    </row>
    <row r="41" spans="2:5" x14ac:dyDescent="0.25">
      <c r="B41" s="3" t="s">
        <v>20</v>
      </c>
      <c r="C41" s="37">
        <f>VLOOKUP($C$35&amp;"-"&amp;B41,Apoio!B5:E23,4,FALSE)</f>
        <v>0.05</v>
      </c>
      <c r="D41" s="39">
        <f t="shared" si="0"/>
        <v>675</v>
      </c>
      <c r="E41" s="22"/>
    </row>
    <row r="42" spans="2:5" x14ac:dyDescent="0.25">
      <c r="B42" s="3" t="s">
        <v>21</v>
      </c>
      <c r="C42" s="37">
        <f>VLOOKUP($C$35&amp;"-"&amp;B42,Apoio!B6:E24,4,FALSE)</f>
        <v>0.1</v>
      </c>
      <c r="D42" s="39">
        <f t="shared" si="0"/>
        <v>1350</v>
      </c>
    </row>
    <row r="43" spans="2:5" x14ac:dyDescent="0.25">
      <c r="B43" s="41" t="s">
        <v>22</v>
      </c>
      <c r="C43" s="42">
        <f>VLOOKUP($C$35&amp;"-"&amp;B43,Apoio!B7:E25,4,FALSE)</f>
        <v>0.1</v>
      </c>
      <c r="D43" s="43">
        <f t="shared" si="0"/>
        <v>1350</v>
      </c>
    </row>
    <row r="44" spans="2:5" ht="15.75" thickBot="1" x14ac:dyDescent="0.3">
      <c r="B44" s="33"/>
      <c r="C44" s="34"/>
      <c r="D44" s="35">
        <f>SUM(D38:D43)</f>
        <v>13500</v>
      </c>
    </row>
    <row r="45" spans="2:5" x14ac:dyDescent="0.25"/>
    <row r="46" spans="2:5" x14ac:dyDescent="0.25"/>
    <row r="47" spans="2:5" x14ac:dyDescent="0.25"/>
    <row r="48" spans="2:5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x14ac:dyDescent="0.25"/>
    <row r="66" x14ac:dyDescent="0.25"/>
  </sheetData>
  <sheetProtection sheet="1" objects="1" scenarios="1" selectLockedCells="1"/>
  <mergeCells count="14">
    <mergeCell ref="B14:D14"/>
    <mergeCell ref="B15:C15"/>
    <mergeCell ref="C35:D35"/>
    <mergeCell ref="C36:D36"/>
    <mergeCell ref="B22:C22"/>
    <mergeCell ref="B23:C23"/>
    <mergeCell ref="B25:C25"/>
    <mergeCell ref="B16:C16"/>
    <mergeCell ref="B17:C17"/>
    <mergeCell ref="B18:C18"/>
    <mergeCell ref="B19:C19"/>
    <mergeCell ref="B24:C24"/>
    <mergeCell ref="B21:D21"/>
    <mergeCell ref="B26:C26"/>
  </mergeCells>
  <dataValidations count="1">
    <dataValidation type="list" allowBlank="1" showInputMessage="1" showErrorMessage="1" sqref="C35:D35" xr:uid="{4E68251C-5DF9-42BE-A40C-880C01FB9B62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BBA21-1BEB-478F-AFFD-C6FA8ADB3EE4}">
  <dimension ref="B1:G20"/>
  <sheetViews>
    <sheetView workbookViewId="0">
      <selection activeCell="I11" sqref="I11"/>
    </sheetView>
  </sheetViews>
  <sheetFormatPr defaultRowHeight="15" x14ac:dyDescent="0.25"/>
  <cols>
    <col min="2" max="2" width="29.140625" bestFit="1" customWidth="1"/>
    <col min="3" max="3" width="12.140625" bestFit="1" customWidth="1"/>
    <col min="4" max="4" width="16.85546875" bestFit="1" customWidth="1"/>
  </cols>
  <sheetData>
    <row r="1" spans="2:7" ht="15.75" thickBot="1" x14ac:dyDescent="0.3"/>
    <row r="2" spans="2:7" ht="15.75" thickBot="1" x14ac:dyDescent="0.3">
      <c r="B2" s="23" t="s">
        <v>24</v>
      </c>
      <c r="C2" s="24" t="s">
        <v>9</v>
      </c>
      <c r="D2" s="24" t="s">
        <v>16</v>
      </c>
      <c r="E2" s="32" t="s">
        <v>23</v>
      </c>
      <c r="G2" s="47" t="s">
        <v>36</v>
      </c>
    </row>
    <row r="3" spans="2:7" x14ac:dyDescent="0.25">
      <c r="B3" s="23" t="str">
        <f>C3&amp;"-"&amp;D3</f>
        <v>Conservador-Papel</v>
      </c>
      <c r="C3" s="24" t="s">
        <v>12</v>
      </c>
      <c r="D3" s="24" t="s">
        <v>17</v>
      </c>
      <c r="E3" s="29">
        <v>0.3</v>
      </c>
      <c r="G3" s="45">
        <v>2</v>
      </c>
    </row>
    <row r="4" spans="2:7" x14ac:dyDescent="0.25">
      <c r="B4" s="1" t="str">
        <f t="shared" ref="B4:B7" si="0">C4&amp;"-"&amp;D4</f>
        <v>Conservador-Tijolo</v>
      </c>
      <c r="C4" s="25" t="s">
        <v>12</v>
      </c>
      <c r="D4" s="25" t="s">
        <v>18</v>
      </c>
      <c r="E4" s="30">
        <v>0.5</v>
      </c>
      <c r="G4" s="45">
        <v>5</v>
      </c>
    </row>
    <row r="5" spans="2:7" x14ac:dyDescent="0.25">
      <c r="B5" s="1" t="str">
        <f t="shared" si="0"/>
        <v>Conservador-Híbrido</v>
      </c>
      <c r="C5" s="25" t="s">
        <v>12</v>
      </c>
      <c r="D5" s="25" t="s">
        <v>19</v>
      </c>
      <c r="E5" s="30">
        <v>0.1</v>
      </c>
      <c r="G5" s="45">
        <v>10</v>
      </c>
    </row>
    <row r="6" spans="2:7" x14ac:dyDescent="0.25">
      <c r="B6" s="1" t="str">
        <f t="shared" si="0"/>
        <v>Conservador-FOFs</v>
      </c>
      <c r="C6" s="25" t="s">
        <v>12</v>
      </c>
      <c r="D6" s="25" t="s">
        <v>20</v>
      </c>
      <c r="E6" s="30">
        <v>0.1</v>
      </c>
      <c r="G6" s="45">
        <v>20</v>
      </c>
    </row>
    <row r="7" spans="2:7" ht="15.75" thickBot="1" x14ac:dyDescent="0.3">
      <c r="B7" s="1" t="str">
        <f t="shared" si="0"/>
        <v>Conservador-Desenvolvimento</v>
      </c>
      <c r="C7" s="25" t="s">
        <v>12</v>
      </c>
      <c r="D7" s="25" t="s">
        <v>21</v>
      </c>
      <c r="E7" s="30">
        <v>0</v>
      </c>
      <c r="G7" s="46">
        <v>30</v>
      </c>
    </row>
    <row r="8" spans="2:7" ht="15.75" thickBot="1" x14ac:dyDescent="0.3">
      <c r="B8" s="2" t="str">
        <f>C8&amp;"-"&amp;D8</f>
        <v>Conservador-Hotelarias</v>
      </c>
      <c r="C8" s="26" t="s">
        <v>12</v>
      </c>
      <c r="D8" s="26" t="s">
        <v>22</v>
      </c>
      <c r="E8" s="31">
        <v>0</v>
      </c>
    </row>
    <row r="9" spans="2:7" x14ac:dyDescent="0.25">
      <c r="B9" s="23" t="str">
        <f t="shared" ref="B9:B20" si="1">C9&amp;"-"&amp;D9</f>
        <v>Moderado-Papel</v>
      </c>
      <c r="C9" s="24" t="s">
        <v>11</v>
      </c>
      <c r="D9" s="24" t="s">
        <v>17</v>
      </c>
      <c r="E9" s="27">
        <v>0.32</v>
      </c>
    </row>
    <row r="10" spans="2:7" x14ac:dyDescent="0.25">
      <c r="B10" s="1" t="str">
        <f t="shared" si="1"/>
        <v>Moderado-Tijolo</v>
      </c>
      <c r="C10" s="25" t="s">
        <v>11</v>
      </c>
      <c r="D10" s="25" t="s">
        <v>18</v>
      </c>
      <c r="E10" s="7">
        <v>0.35</v>
      </c>
    </row>
    <row r="11" spans="2:7" x14ac:dyDescent="0.25">
      <c r="B11" s="1" t="str">
        <f t="shared" si="1"/>
        <v>Moderado-Híbrido</v>
      </c>
      <c r="C11" s="25" t="s">
        <v>11</v>
      </c>
      <c r="D11" s="25" t="s">
        <v>19</v>
      </c>
      <c r="E11" s="7">
        <v>0.08</v>
      </c>
    </row>
    <row r="12" spans="2:7" x14ac:dyDescent="0.25">
      <c r="B12" s="1" t="str">
        <f t="shared" si="1"/>
        <v>Moderado-FOFs</v>
      </c>
      <c r="C12" s="25" t="s">
        <v>11</v>
      </c>
      <c r="D12" s="25" t="s">
        <v>20</v>
      </c>
      <c r="E12" s="7">
        <v>0.05</v>
      </c>
    </row>
    <row r="13" spans="2:7" x14ac:dyDescent="0.25">
      <c r="B13" s="1" t="str">
        <f t="shared" si="1"/>
        <v>Moderado-Desenvolvimento</v>
      </c>
      <c r="C13" s="25" t="s">
        <v>11</v>
      </c>
      <c r="D13" s="25" t="s">
        <v>21</v>
      </c>
      <c r="E13" s="7">
        <v>0.1</v>
      </c>
    </row>
    <row r="14" spans="2:7" ht="15.75" thickBot="1" x14ac:dyDescent="0.3">
      <c r="B14" s="2" t="str">
        <f t="shared" si="1"/>
        <v>Moderado-Hotelarias</v>
      </c>
      <c r="C14" s="26" t="s">
        <v>11</v>
      </c>
      <c r="D14" s="26" t="s">
        <v>22</v>
      </c>
      <c r="E14" s="28">
        <v>0.1</v>
      </c>
    </row>
    <row r="15" spans="2:7" x14ac:dyDescent="0.25">
      <c r="B15" s="23" t="str">
        <f t="shared" si="1"/>
        <v>Agressivo-Papel</v>
      </c>
      <c r="C15" s="24" t="s">
        <v>10</v>
      </c>
      <c r="D15" s="24" t="s">
        <v>17</v>
      </c>
      <c r="E15" s="27">
        <v>0.5</v>
      </c>
    </row>
    <row r="16" spans="2:7" x14ac:dyDescent="0.25">
      <c r="B16" s="1" t="str">
        <f t="shared" si="1"/>
        <v>Agressivo-Tijolo</v>
      </c>
      <c r="C16" s="25" t="s">
        <v>10</v>
      </c>
      <c r="D16" s="25" t="s">
        <v>18</v>
      </c>
      <c r="E16" s="7">
        <v>0.1</v>
      </c>
    </row>
    <row r="17" spans="2:5" x14ac:dyDescent="0.25">
      <c r="B17" s="1" t="str">
        <f t="shared" si="1"/>
        <v>Agressivo-Híbrido</v>
      </c>
      <c r="C17" s="25" t="s">
        <v>10</v>
      </c>
      <c r="D17" s="25" t="s">
        <v>19</v>
      </c>
      <c r="E17" s="7">
        <v>0.05</v>
      </c>
    </row>
    <row r="18" spans="2:5" x14ac:dyDescent="0.25">
      <c r="B18" s="1" t="str">
        <f t="shared" si="1"/>
        <v>Agressivo-FOFs</v>
      </c>
      <c r="C18" s="25" t="s">
        <v>10</v>
      </c>
      <c r="D18" s="25" t="s">
        <v>20</v>
      </c>
      <c r="E18" s="7">
        <v>0.05</v>
      </c>
    </row>
    <row r="19" spans="2:5" x14ac:dyDescent="0.25">
      <c r="B19" s="1" t="str">
        <f t="shared" si="1"/>
        <v>Agressivo-Desenvolvimento</v>
      </c>
      <c r="C19" s="25" t="s">
        <v>10</v>
      </c>
      <c r="D19" s="25" t="s">
        <v>21</v>
      </c>
      <c r="E19" s="7">
        <v>0.2</v>
      </c>
    </row>
    <row r="20" spans="2:5" ht="15.75" thickBot="1" x14ac:dyDescent="0.3">
      <c r="B20" s="2" t="str">
        <f t="shared" si="1"/>
        <v>Agressivo-Hotelarias</v>
      </c>
      <c r="C20" s="26" t="s">
        <v>10</v>
      </c>
      <c r="D20" s="26" t="s">
        <v>22</v>
      </c>
      <c r="E20" s="28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9</vt:i4>
      </vt:variant>
    </vt:vector>
  </HeadingPairs>
  <TitlesOfParts>
    <vt:vector size="11" baseType="lpstr">
      <vt:lpstr>Calculadora</vt:lpstr>
      <vt:lpstr>Apoio</vt:lpstr>
      <vt:lpstr>Aporte</vt:lpstr>
      <vt:lpstr>Patrimonio</vt:lpstr>
      <vt:lpstr>QtdAnos</vt:lpstr>
      <vt:lpstr>RendCart</vt:lpstr>
      <vt:lpstr>Salario</vt:lpstr>
      <vt:lpstr>SugInv10</vt:lpstr>
      <vt:lpstr>SugInv20</vt:lpstr>
      <vt:lpstr>SugInv30</vt:lpstr>
      <vt:lpstr>TaxaMensal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Belussi</dc:creator>
  <cp:lastModifiedBy>Augusto Belussi</cp:lastModifiedBy>
  <dcterms:created xsi:type="dcterms:W3CDTF">2026-01-16T15:50:39Z</dcterms:created>
  <dcterms:modified xsi:type="dcterms:W3CDTF">2026-01-21T03:46:04Z</dcterms:modified>
</cp:coreProperties>
</file>